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919"/>
  <workbookPr/>
  <mc:AlternateContent xmlns:mc="http://schemas.openxmlformats.org/markup-compatibility/2006">
    <mc:Choice Requires="x15">
      <x15ac:absPath xmlns:x15ac="http://schemas.microsoft.com/office/spreadsheetml/2010/11/ac" url="C:\Users\n01161105\Downloads\"/>
    </mc:Choice>
  </mc:AlternateContent>
  <xr:revisionPtr revIDLastSave="0" documentId="11_EFD4D94390E2B03E0DE9948DA31E0070D82E66DE" xr6:coauthVersionLast="37" xr6:coauthVersionMax="37" xr10:uidLastSave="{00000000-0000-0000-0000-000000000000}"/>
  <bookViews>
    <workbookView xWindow="0" yWindow="0" windowWidth="21600" windowHeight="9600" xr2:uid="{00000000-000D-0000-FFFF-FFFF00000000}"/>
  </bookViews>
  <sheets>
    <sheet name="Sheet1" sheetId="1" r:id="rId1"/>
  </sheets>
  <calcPr calcId="17902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" i="1" l="1"/>
  <c r="F15" i="1"/>
  <c r="D14" i="1"/>
  <c r="F5" i="1"/>
  <c r="F6" i="1"/>
  <c r="F7" i="1"/>
  <c r="F8" i="1"/>
  <c r="F9" i="1"/>
  <c r="F10" i="1"/>
  <c r="F11" i="1"/>
  <c r="F12" i="1"/>
  <c r="F14" i="1"/>
  <c r="E14" i="1"/>
</calcChain>
</file>

<file path=xl/sharedStrings.xml><?xml version="1.0" encoding="utf-8"?>
<sst xmlns="http://schemas.openxmlformats.org/spreadsheetml/2006/main" count="64" uniqueCount="60">
  <si>
    <t>Budgeting for Digital Dashboard</t>
  </si>
  <si>
    <t>Description</t>
  </si>
  <si>
    <t>Source</t>
  </si>
  <si>
    <t>Part #</t>
  </si>
  <si>
    <t>CAD$ Unit Cost</t>
  </si>
  <si>
    <t>CAD$ Shipping</t>
  </si>
  <si>
    <t>CAD$ Subtotal</t>
  </si>
  <si>
    <t>Link</t>
  </si>
  <si>
    <t>Comments</t>
  </si>
  <si>
    <t>Raspberry Pi 3 Model B</t>
  </si>
  <si>
    <t>Amazon</t>
  </si>
  <si>
    <t>B01CD5VC92</t>
  </si>
  <si>
    <t>FREE</t>
  </si>
  <si>
    <t>https://tinyurl.com/yd8zt33y</t>
  </si>
  <si>
    <t>1.2GHz 64-bit quad-core ARMv8 CPU, 1 GB RAM,4 USB ports, 40 GPIO pins, Full HDMI port, Combined 3.5mm audio jack and composite video</t>
  </si>
  <si>
    <t>Raspberry Pi Case incl screwdriver</t>
  </si>
  <si>
    <t>B01D8368RY</t>
  </si>
  <si>
    <t>https://tinyurl.com/y7lkpouc</t>
  </si>
  <si>
    <t xml:space="preserve">Specially designed for Raspberry Pi 3 Model B, Access to all controls and features. Transparent Case which allows for internal seeing </t>
  </si>
  <si>
    <t>Raspberry Pi 5V/2.5A Power Supply</t>
  </si>
  <si>
    <t>B06Y431Y27</t>
  </si>
  <si>
    <t>https://tinyurl.com/ya4kcvr3</t>
  </si>
  <si>
    <t>Comes with a With an ON &amp; OFF press button on the charging cable,</t>
  </si>
  <si>
    <t>Sandisk 32gb microSDXC card</t>
  </si>
  <si>
    <t>B073JWXGNT</t>
  </si>
  <si>
    <t>https://tinyurl.com/ydhm22or</t>
  </si>
  <si>
    <t>Rated A1 for faster app performance3 and UHS Speed Class U1</t>
  </si>
  <si>
    <t>2 Mini Raspberry Pi Heatsinks</t>
  </si>
  <si>
    <t>B014KKY19G</t>
  </si>
  <si>
    <t>https://tinyurl.com/yawe5tvz</t>
  </si>
  <si>
    <t>Great for cooling the Pi</t>
  </si>
  <si>
    <t>HDMI Cable</t>
  </si>
  <si>
    <t>B014I8SSD0</t>
  </si>
  <si>
    <t>https://tinyurl.com/y6ups5wd</t>
  </si>
  <si>
    <t>6 feet in length</t>
  </si>
  <si>
    <t>Adafruit PiTFT Capacitive Touchscreen</t>
  </si>
  <si>
    <t>B00XW2OI6A</t>
  </si>
  <si>
    <t>https://tinyurl.com/ybco5so3</t>
  </si>
  <si>
    <t>The display and touchscreen uses the hardware I2C Pins (SDA &amp; SCL), SPI pins (SCK, MOSI, MISO, CE0) as well as GPIO #25 and #24.</t>
  </si>
  <si>
    <t>Adafruit Faceplate &amp; Buttons</t>
  </si>
  <si>
    <t>B019MGASTA</t>
  </si>
  <si>
    <t>https://tinyurl.com/y8yd353a</t>
  </si>
  <si>
    <t>Stylish cover for the Touchscreen which would go on top of the case</t>
  </si>
  <si>
    <t>SMRaza Electronic Starter Kit</t>
  </si>
  <si>
    <t>B01HRR7EBG</t>
  </si>
  <si>
    <t>https://tinyurl.com/ycb737cn</t>
  </si>
  <si>
    <t>The kit comes with breadboard and power supply kit, a good range of LEDs, resistors, buttons, capacitors, a few transistors and diodes</t>
  </si>
  <si>
    <t xml:space="preserve">Parts Kits  </t>
  </si>
  <si>
    <t xml:space="preserve">Humber </t>
  </si>
  <si>
    <t>N/A</t>
  </si>
  <si>
    <t>Contains all the wire connector cables and doides</t>
  </si>
  <si>
    <t>Total Unit Cost Including Shipping</t>
  </si>
  <si>
    <t>HST tax 13%</t>
  </si>
  <si>
    <t>Total for parts for CAD Including HST Tax</t>
  </si>
  <si>
    <t xml:space="preserve">                               CAD=</t>
  </si>
  <si>
    <t>Total Price in USD (CAD $1 = USD $0.77)</t>
  </si>
  <si>
    <t xml:space="preserve">                               USD=</t>
  </si>
  <si>
    <t>Done by Karan Raj Kanwar</t>
  </si>
  <si>
    <t>September 24, Monday ,2018</t>
  </si>
  <si>
    <t>CENG317-0NA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</si>
</sst>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164" formatCode="&quot;$&quot;#,##0.00_);[Red]\(&quot;$&quot;#,##0.00\)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8" fontId="1" fillId="0" borderId="0" xfId="0" applyNumberFormat="1" applyFont="1"/>
    <xf numFmtId="8" fontId="2" fillId="0" borderId="0" xfId="0" applyNumberFormat="1" applyFont="1"/>
    <xf numFmtId="8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8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8" fontId="2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2"/>
  <sheetViews>
    <sheetView tabSelected="1" zoomScaleNormal="100" workbookViewId="0" xr3:uid="{AEA406A1-0E4B-5B11-9CD5-51D6E497D94C}">
      <selection activeCell="H4" sqref="H4"/>
    </sheetView>
  </sheetViews>
  <sheetFormatPr defaultRowHeight="15"/>
  <cols>
    <col min="1" max="1" width="43.140625" customWidth="1"/>
    <col min="2" max="2" width="9.28515625" customWidth="1"/>
    <col min="3" max="3" width="14.42578125" customWidth="1"/>
    <col min="4" max="4" width="13.85546875" customWidth="1"/>
    <col min="5" max="5" width="13.42578125" customWidth="1"/>
    <col min="6" max="6" width="13.140625" customWidth="1"/>
    <col min="7" max="7" width="29.85546875" customWidth="1"/>
    <col min="8" max="8" width="41" customWidth="1"/>
  </cols>
  <sheetData>
    <row r="1" spans="1:8">
      <c r="A1" s="12" t="s">
        <v>0</v>
      </c>
      <c r="B1" s="13"/>
      <c r="C1" s="13"/>
      <c r="D1" s="13"/>
      <c r="E1" s="13"/>
      <c r="F1" s="13"/>
      <c r="G1" s="14"/>
      <c r="H1" s="14"/>
    </row>
    <row r="2" spans="1:8">
      <c r="A2" s="13"/>
      <c r="B2" s="13"/>
      <c r="C2" s="13"/>
      <c r="D2" s="13"/>
      <c r="E2" s="13"/>
      <c r="F2" s="13"/>
      <c r="G2" s="14"/>
      <c r="H2" s="14"/>
    </row>
    <row r="3" spans="1:8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</row>
    <row r="4" spans="1:8" ht="63.75" customHeight="1">
      <c r="A4" s="7" t="s">
        <v>9</v>
      </c>
      <c r="B4" t="s">
        <v>10</v>
      </c>
      <c r="C4" t="s">
        <v>11</v>
      </c>
      <c r="D4" s="4">
        <v>55.99</v>
      </c>
      <c r="E4" s="4" t="s">
        <v>12</v>
      </c>
      <c r="F4" s="4">
        <v>55.99</v>
      </c>
      <c r="G4" t="s">
        <v>13</v>
      </c>
      <c r="H4" s="6" t="s">
        <v>14</v>
      </c>
    </row>
    <row r="5" spans="1:8" ht="58.5" customHeight="1">
      <c r="A5" s="7" t="s">
        <v>15</v>
      </c>
      <c r="C5" t="s">
        <v>16</v>
      </c>
      <c r="D5" s="4">
        <v>8.99</v>
      </c>
      <c r="E5" s="4">
        <v>5</v>
      </c>
      <c r="F5" s="4">
        <f>SUM(E5,D5)</f>
        <v>13.99</v>
      </c>
      <c r="G5" t="s">
        <v>17</v>
      </c>
      <c r="H5" s="6" t="s">
        <v>18</v>
      </c>
    </row>
    <row r="6" spans="1:8" ht="33.75" customHeight="1">
      <c r="A6" s="7" t="s">
        <v>19</v>
      </c>
      <c r="C6" t="s">
        <v>20</v>
      </c>
      <c r="D6" s="4">
        <v>12.89</v>
      </c>
      <c r="E6" s="4">
        <v>6.24</v>
      </c>
      <c r="F6" s="4">
        <f t="shared" ref="F6:F12" si="0">SUM(D6:E6)</f>
        <v>19.130000000000003</v>
      </c>
      <c r="G6" t="s">
        <v>21</v>
      </c>
      <c r="H6" s="6" t="s">
        <v>22</v>
      </c>
    </row>
    <row r="7" spans="1:8" ht="33.75" customHeight="1">
      <c r="A7" s="7" t="s">
        <v>23</v>
      </c>
      <c r="C7" t="s">
        <v>24</v>
      </c>
      <c r="D7" s="4">
        <v>14.65</v>
      </c>
      <c r="E7" s="4">
        <v>5</v>
      </c>
      <c r="F7" s="4">
        <f t="shared" si="0"/>
        <v>19.649999999999999</v>
      </c>
      <c r="G7" t="s">
        <v>25</v>
      </c>
      <c r="H7" s="6" t="s">
        <v>26</v>
      </c>
    </row>
    <row r="8" spans="1:8">
      <c r="A8" s="7" t="s">
        <v>27</v>
      </c>
      <c r="C8" t="s">
        <v>28</v>
      </c>
      <c r="D8" s="4">
        <v>6.99</v>
      </c>
      <c r="E8" s="4">
        <v>4.99</v>
      </c>
      <c r="F8" s="4">
        <f t="shared" si="0"/>
        <v>11.98</v>
      </c>
      <c r="G8" t="s">
        <v>29</v>
      </c>
      <c r="H8" s="6" t="s">
        <v>30</v>
      </c>
    </row>
    <row r="9" spans="1:8">
      <c r="A9" s="7" t="s">
        <v>31</v>
      </c>
      <c r="C9" t="s">
        <v>32</v>
      </c>
      <c r="D9" s="4">
        <v>7.16</v>
      </c>
      <c r="E9" s="4">
        <v>4.99</v>
      </c>
      <c r="F9" s="4">
        <f t="shared" si="0"/>
        <v>12.15</v>
      </c>
      <c r="G9" t="s">
        <v>33</v>
      </c>
      <c r="H9" s="6" t="s">
        <v>34</v>
      </c>
    </row>
    <row r="10" spans="1:8" ht="60" customHeight="1">
      <c r="A10" s="7" t="s">
        <v>35</v>
      </c>
      <c r="C10" t="s">
        <v>36</v>
      </c>
      <c r="D10" s="4">
        <v>68.2</v>
      </c>
      <c r="E10" s="5" t="s">
        <v>12</v>
      </c>
      <c r="F10" s="4">
        <f t="shared" si="0"/>
        <v>68.2</v>
      </c>
      <c r="G10" t="s">
        <v>37</v>
      </c>
      <c r="H10" s="6" t="s">
        <v>38</v>
      </c>
    </row>
    <row r="11" spans="1:8" ht="35.25" customHeight="1">
      <c r="A11" s="7" t="s">
        <v>39</v>
      </c>
      <c r="C11" t="s">
        <v>40</v>
      </c>
      <c r="D11" s="4">
        <v>9.99</v>
      </c>
      <c r="E11" s="4">
        <v>19.989999999999998</v>
      </c>
      <c r="F11" s="4">
        <f t="shared" si="0"/>
        <v>29.979999999999997</v>
      </c>
      <c r="G11" t="s">
        <v>41</v>
      </c>
      <c r="H11" s="6" t="s">
        <v>42</v>
      </c>
    </row>
    <row r="12" spans="1:8" ht="61.5" customHeight="1">
      <c r="A12" s="7" t="s">
        <v>43</v>
      </c>
      <c r="C12" t="s">
        <v>44</v>
      </c>
      <c r="D12" s="4">
        <v>58.08</v>
      </c>
      <c r="E12" s="5" t="s">
        <v>12</v>
      </c>
      <c r="F12" s="4">
        <f t="shared" si="0"/>
        <v>58.08</v>
      </c>
      <c r="G12" t="s">
        <v>45</v>
      </c>
      <c r="H12" s="6" t="s">
        <v>46</v>
      </c>
    </row>
    <row r="13" spans="1:8" ht="30">
      <c r="A13" s="7" t="s">
        <v>47</v>
      </c>
      <c r="B13" s="5" t="s">
        <v>48</v>
      </c>
      <c r="C13" s="5" t="s">
        <v>49</v>
      </c>
      <c r="D13" s="11">
        <v>120</v>
      </c>
      <c r="E13" s="5" t="s">
        <v>12</v>
      </c>
      <c r="F13" s="11">
        <v>120</v>
      </c>
      <c r="G13" s="5" t="s">
        <v>49</v>
      </c>
      <c r="H13" s="6" t="s">
        <v>50</v>
      </c>
    </row>
    <row r="14" spans="1:8" ht="23.25" customHeight="1">
      <c r="A14" t="s">
        <v>51</v>
      </c>
      <c r="D14" s="2">
        <f>SUM(D4:D13)</f>
        <v>362.94</v>
      </c>
      <c r="E14" s="8">
        <f>SUM(E4:E11,E12)</f>
        <v>46.210000000000008</v>
      </c>
      <c r="F14" s="8">
        <f>SUM(F4:F13)</f>
        <v>409.15000000000003</v>
      </c>
    </row>
    <row r="15" spans="1:8" ht="21.75" customHeight="1">
      <c r="A15" t="s">
        <v>52</v>
      </c>
      <c r="D15" s="1"/>
      <c r="F15" s="9">
        <f>409*13%</f>
        <v>53.17</v>
      </c>
    </row>
    <row r="16" spans="1:8" ht="21.75" customHeight="1">
      <c r="A16" t="s">
        <v>53</v>
      </c>
      <c r="D16" s="3"/>
      <c r="E16" t="s">
        <v>54</v>
      </c>
      <c r="F16" s="10">
        <f>53.17 +409.15</f>
        <v>462.32</v>
      </c>
    </row>
    <row r="17" spans="1:6" ht="22.5" customHeight="1">
      <c r="A17" t="s">
        <v>55</v>
      </c>
      <c r="D17" s="3"/>
      <c r="E17" t="s">
        <v>56</v>
      </c>
      <c r="F17" s="10">
        <v>357.16</v>
      </c>
    </row>
    <row r="19" spans="1:6" ht="24.75" customHeight="1">
      <c r="A19" s="1" t="s">
        <v>57</v>
      </c>
    </row>
    <row r="20" spans="1:6" ht="25.5" customHeight="1">
      <c r="A20" s="1" t="s">
        <v>58</v>
      </c>
    </row>
    <row r="21" spans="1:6" ht="24.75" customHeight="1">
      <c r="A21" s="1" t="s">
        <v>59</v>
      </c>
    </row>
    <row r="22" spans="1:6">
      <c r="A22" s="1"/>
    </row>
  </sheetData>
  <mergeCells count="1">
    <mergeCell ref="A1:H2"/>
  </mergeCells>
  <printOptions gridLines="1"/>
  <pageMargins left="0" right="0" top="0" bottom="0" header="0" footer="0"/>
  <pageSetup scale="7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karan raj kanwar</dc:creator>
  <cp:keywords/>
  <dc:description/>
  <cp:lastModifiedBy>karan raj kanwar</cp:lastModifiedBy>
  <cp:revision/>
  <dcterms:created xsi:type="dcterms:W3CDTF">2018-09-24T21:29:53Z</dcterms:created>
  <dcterms:modified xsi:type="dcterms:W3CDTF">2018-09-25T16:02:20Z</dcterms:modified>
  <cp:category/>
  <cp:contentStatus/>
</cp:coreProperties>
</file>